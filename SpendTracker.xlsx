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417FF0F6242277CD/Documents/"/>
    </mc:Choice>
  </mc:AlternateContent>
  <xr:revisionPtr revIDLastSave="0" documentId="8_{8B4DF245-13EE-4D87-8AC6-A521D61BEB0D}" xr6:coauthVersionLast="47" xr6:coauthVersionMax="47" xr10:uidLastSave="{00000000-0000-0000-0000-000000000000}"/>
  <bookViews>
    <workbookView xWindow="-108" yWindow="-108" windowWidth="23256" windowHeight="13176" xr2:uid="{00000000-000D-0000-FFFF-FFFF00000000}"/>
  </bookViews>
  <sheets>
    <sheet name="DailySpend" sheetId="1" r:id="rId1"/>
    <sheet name="MonthlySummary" sheetId="2" r:id="rId2"/>
    <sheet name="AnnualFees" sheetId="3" r:id="rId3"/>
    <sheet name="Instruc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3" l="1"/>
  <c r="D14" i="3"/>
  <c r="F14" i="3" s="1"/>
  <c r="F13" i="3"/>
  <c r="E13" i="3"/>
  <c r="D13" i="3"/>
  <c r="E12" i="3"/>
  <c r="D12" i="3"/>
  <c r="F12" i="3" s="1"/>
  <c r="E11" i="3"/>
  <c r="D11" i="3"/>
  <c r="F11" i="3" s="1"/>
  <c r="E10" i="3"/>
  <c r="D10" i="3"/>
  <c r="F10" i="3" s="1"/>
  <c r="E9" i="3"/>
  <c r="D9" i="3"/>
  <c r="F9" i="3" s="1"/>
  <c r="E8" i="3"/>
  <c r="D8" i="3"/>
  <c r="F8" i="3" s="1"/>
  <c r="E7" i="3"/>
  <c r="D7" i="3"/>
  <c r="F7" i="3" s="1"/>
  <c r="E6" i="3"/>
  <c r="D6" i="3"/>
  <c r="F6" i="3" s="1"/>
  <c r="E5" i="3"/>
  <c r="D5" i="3"/>
  <c r="F5" i="3" s="1"/>
  <c r="E4" i="3"/>
  <c r="D4" i="3"/>
  <c r="F4" i="3" s="1"/>
  <c r="E3" i="3"/>
  <c r="D3" i="3"/>
  <c r="F3" i="3" s="1"/>
  <c r="E2" i="3"/>
  <c r="D2" i="3"/>
  <c r="F2" i="3" s="1"/>
  <c r="AA2" i="2"/>
  <c r="Z2" i="2"/>
  <c r="Y2" i="2"/>
  <c r="X2" i="2"/>
  <c r="W2" i="2"/>
  <c r="V2" i="2"/>
  <c r="U2" i="2"/>
  <c r="T2" i="2"/>
  <c r="S2" i="2"/>
  <c r="R2" i="2"/>
  <c r="Q2" i="2"/>
  <c r="P2" i="2"/>
  <c r="O2" i="2"/>
  <c r="AC2" i="2" s="1"/>
  <c r="N2" i="2"/>
  <c r="M2" i="2"/>
  <c r="L2" i="2"/>
  <c r="K2" i="2"/>
  <c r="J2" i="2"/>
  <c r="I2" i="2"/>
  <c r="H2" i="2"/>
  <c r="G2" i="2"/>
  <c r="F2" i="2"/>
  <c r="E2" i="2"/>
  <c r="D2" i="2"/>
  <c r="C2" i="2"/>
  <c r="B2" i="2"/>
  <c r="AB2" i="2" s="1"/>
</calcChain>
</file>

<file path=xl/sharedStrings.xml><?xml version="1.0" encoding="utf-8"?>
<sst xmlns="http://schemas.openxmlformats.org/spreadsheetml/2006/main" count="43" uniqueCount="42">
  <si>
    <t>Date</t>
  </si>
  <si>
    <t>Credit Card</t>
  </si>
  <si>
    <t>Category</t>
  </si>
  <si>
    <t>Amount</t>
  </si>
  <si>
    <t>Notes</t>
  </si>
  <si>
    <t>Cashback Earned</t>
  </si>
  <si>
    <t>Month</t>
  </si>
  <si>
    <t>Total Spend HDFC TATA NEU</t>
  </si>
  <si>
    <t>Total Spend AXIS AIRTEL</t>
  </si>
  <si>
    <t>Total Spend AXIS MYZONE</t>
  </si>
  <si>
    <t>Total Spend SBI SIMPLYSAVE</t>
  </si>
  <si>
    <t>Total Spend ROAR BANK</t>
  </si>
  <si>
    <t>Total Spend AXIS PRIVILAGE</t>
  </si>
  <si>
    <t>Total Spend HDFC SWIGGY</t>
  </si>
  <si>
    <t>Total Spend JUPITER</t>
  </si>
  <si>
    <t>Total Spend YES RUPAY</t>
  </si>
  <si>
    <t>Total Spend INDUSIND EAZYDINER</t>
  </si>
  <si>
    <t>Total Spend ONECARD</t>
  </si>
  <si>
    <t>Total Spend YES ACE</t>
  </si>
  <si>
    <t>Total Spend RBL SHOPRITE</t>
  </si>
  <si>
    <t>Total Cashback HDFC TATA NEU</t>
  </si>
  <si>
    <t>Total Cashback AXIS AIRTEL</t>
  </si>
  <si>
    <t>Total Cashback AXIS MYZONE</t>
  </si>
  <si>
    <t>Total Cashback SBI SIMPLYSAVE</t>
  </si>
  <si>
    <t>Total Cashback ROAR BANK</t>
  </si>
  <si>
    <t>Total Cashback AXIS PRIVILAGE</t>
  </si>
  <si>
    <t>Total Cashback HDFC SWIGGY</t>
  </si>
  <si>
    <t>Total Cashback JUPITER</t>
  </si>
  <si>
    <t>Total Cashback YES RUPAY</t>
  </si>
  <si>
    <t>Total Cashback INDUSIND EAZYDINER</t>
  </si>
  <si>
    <t>Total Cashback ONECARD</t>
  </si>
  <si>
    <t>Total Cashback YES ACE</t>
  </si>
  <si>
    <t>Total Cashback RBL SHOPRITE</t>
  </si>
  <si>
    <t>Total Spend</t>
  </si>
  <si>
    <t>Total Cashback</t>
  </si>
  <si>
    <t>Nov-2025</t>
  </si>
  <si>
    <t>Annual Fee</t>
  </si>
  <si>
    <t>Waiver Limit</t>
  </si>
  <si>
    <t>Spend YTD</t>
  </si>
  <si>
    <t>Cashback YTD</t>
  </si>
  <si>
    <t>Waived?</t>
  </si>
  <si>
    <t>Thanks for letting me know, Lokeswar. Here's how to get your Excel file if you're having trouble downloading it:
## 🛠️ How to Download the Excel File
When I generate a file for you, it appears as a **card above my message** — usually with a filename like `SpendTracker.xlsx`. To download it:
1. **Look above this message** for a card with a download icon or file name.
2. **Click or tap the card** — it will open or download the Excel file.
3. If you're on mobile, you may need to scroll up slightly or tap the file to open it in your spreadsheet app.
If you don’t see the card or it didn’t appear, I can regenerate the file for you right now. Just say the word and I’ll rebuild it with all 13 credit cards in ALL CAPS, monthly and annual tracking, and cashback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</si>
</sst>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
  <sheetViews>
    <sheetView tabSelected="1" workbookViewId="0">
      <selection activeCell="B2" sqref="B2"/>
    </sheetView>
  </sheetViews>
  <sheetFormatPr defaultRowHeight="14.4" x14ac:dyDescent="0.3"/>
  <sheetData>
    <row r="1" spans="1:6" x14ac:dyDescent="0.3">
      <c r="A1" t="s">
        <v>0</v>
      </c>
      <c r="B1" t="s">
        <v>1</v>
      </c>
      <c r="C1" t="s">
        <v>2</v>
      </c>
      <c r="D1" t="s">
        <v>3</v>
      </c>
      <c r="E1" t="s">
        <v>4</v>
      </c>
      <c r="F1" t="s">
        <v>5</v>
      </c>
    </row>
  </sheetData>
  <dataValidations count="1">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xr:uid="{00000000-0002-0000-0000-000000000000}">
      <formula1>"HDFC TATA NEU,AXIS AIRTEL,AXIS MYZONE,SBI SIMPLYSAVE,ROAR BANK,AXIS PRIVILAGE,HDFC SWIGGY,JUPITER,YES RUPAY,INDUSIND EAZYDINER,ONECARD,YES ACE,RBL SHOPRITE"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
  <sheetViews>
    <sheetView workbookViewId="0"/>
  </sheetViews>
  <sheetFormatPr defaultRowHeight="14.4" x14ac:dyDescent="0.3"/>
  <sheetData>
    <row r="1" spans="1:29" x14ac:dyDescent="0.3">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row>
    <row r="2" spans="1:29" x14ac:dyDescent="0.3">
      <c r="A2" t="s">
        <v>35</v>
      </c>
      <c r="B2">
        <f>SUMIFS(DailySpend!D:D,DailySpend!B:B,"HDFC TATA NEU",DailySpend!A:A,"&gt;=2025-11-01",DailySpend!A:A,"&lt;2025-12-01")</f>
        <v>0</v>
      </c>
      <c r="C2">
        <f>SUMIFS(DailySpend!D:D,DailySpend!B:B,"AXIS AIRTEL",DailySpend!A:A,"&gt;=2025-11-01",DailySpend!A:A,"&lt;2025-12-01")</f>
        <v>0</v>
      </c>
      <c r="D2">
        <f>SUMIFS(DailySpend!D:D,DailySpend!B:B,"AXIS MYZONE",DailySpend!A:A,"&gt;=2025-11-01",DailySpend!A:A,"&lt;2025-12-01")</f>
        <v>0</v>
      </c>
      <c r="E2">
        <f>SUMIFS(DailySpend!D:D,DailySpend!B:B,"SBI SIMPLYSAVE",DailySpend!A:A,"&gt;=2025-11-01",DailySpend!A:A,"&lt;2025-12-01")</f>
        <v>0</v>
      </c>
      <c r="F2">
        <f>SUMIFS(DailySpend!D:D,DailySpend!B:B,"ROAR BANK",DailySpend!A:A,"&gt;=2025-11-01",DailySpend!A:A,"&lt;2025-12-01")</f>
        <v>0</v>
      </c>
      <c r="G2">
        <f>SUMIFS(DailySpend!D:D,DailySpend!B:B,"AXIS PRIVILAGE",DailySpend!A:A,"&gt;=2025-11-01",DailySpend!A:A,"&lt;2025-12-01")</f>
        <v>0</v>
      </c>
      <c r="H2">
        <f>SUMIFS(DailySpend!D:D,DailySpend!B:B,"HDFC SWIGGY",DailySpend!A:A,"&gt;=2025-11-01",DailySpend!A:A,"&lt;2025-12-01")</f>
        <v>0</v>
      </c>
      <c r="I2">
        <f>SUMIFS(DailySpend!D:D,DailySpend!B:B,"JUPITER",DailySpend!A:A,"&gt;=2025-11-01",DailySpend!A:A,"&lt;2025-12-01")</f>
        <v>0</v>
      </c>
      <c r="J2">
        <f>SUMIFS(DailySpend!D:D,DailySpend!B:B,"YES RUPAY",DailySpend!A:A,"&gt;=2025-11-01",DailySpend!A:A,"&lt;2025-12-01")</f>
        <v>0</v>
      </c>
      <c r="K2">
        <f>SUMIFS(DailySpend!D:D,DailySpend!B:B,"INDUSIND EAZYDINER",DailySpend!A:A,"&gt;=2025-11-01",DailySpend!A:A,"&lt;2025-12-01")</f>
        <v>0</v>
      </c>
      <c r="L2">
        <f>SUMIFS(DailySpend!D:D,DailySpend!B:B,"ONECARD",DailySpend!A:A,"&gt;=2025-11-01",DailySpend!A:A,"&lt;2025-12-01")</f>
        <v>0</v>
      </c>
      <c r="M2">
        <f>SUMIFS(DailySpend!D:D,DailySpend!B:B,"YES ACE",DailySpend!A:A,"&gt;=2025-11-01",DailySpend!A:A,"&lt;2025-12-01")</f>
        <v>0</v>
      </c>
      <c r="N2">
        <f>SUMIFS(DailySpend!D:D,DailySpend!B:B,"RBL SHOPRITE",DailySpend!A:A,"&gt;=2025-11-01",DailySpend!A:A,"&lt;2025-12-01")</f>
        <v>0</v>
      </c>
      <c r="O2">
        <f>SUMIFS(DailySpend!F:F,DailySpend!B:B,"HDFC TATA NEU",DailySpend!A:A,"&gt;=2025-11-01",DailySpend!A:A,"&lt;2025-12-01")</f>
        <v>0</v>
      </c>
      <c r="P2">
        <f>SUMIFS(DailySpend!F:F,DailySpend!B:B,"AXIS AIRTEL",DailySpend!A:A,"&gt;=2025-11-01",DailySpend!A:A,"&lt;2025-12-01")</f>
        <v>0</v>
      </c>
      <c r="Q2">
        <f>SUMIFS(DailySpend!F:F,DailySpend!B:B,"AXIS MYZONE",DailySpend!A:A,"&gt;=2025-11-01",DailySpend!A:A,"&lt;2025-12-01")</f>
        <v>0</v>
      </c>
      <c r="R2">
        <f>SUMIFS(DailySpend!F:F,DailySpend!B:B,"SBI SIMPLYSAVE",DailySpend!A:A,"&gt;=2025-11-01",DailySpend!A:A,"&lt;2025-12-01")</f>
        <v>0</v>
      </c>
      <c r="S2">
        <f>SUMIFS(DailySpend!F:F,DailySpend!B:B,"ROAR BANK",DailySpend!A:A,"&gt;=2025-11-01",DailySpend!A:A,"&lt;2025-12-01")</f>
        <v>0</v>
      </c>
      <c r="T2">
        <f>SUMIFS(DailySpend!F:F,DailySpend!B:B,"AXIS PRIVILAGE",DailySpend!A:A,"&gt;=2025-11-01",DailySpend!A:A,"&lt;2025-12-01")</f>
        <v>0</v>
      </c>
      <c r="U2">
        <f>SUMIFS(DailySpend!F:F,DailySpend!B:B,"HDFC SWIGGY",DailySpend!A:A,"&gt;=2025-11-01",DailySpend!A:A,"&lt;2025-12-01")</f>
        <v>0</v>
      </c>
      <c r="V2">
        <f>SUMIFS(DailySpend!F:F,DailySpend!B:B,"JUPITER",DailySpend!A:A,"&gt;=2025-11-01",DailySpend!A:A,"&lt;2025-12-01")</f>
        <v>0</v>
      </c>
      <c r="W2">
        <f>SUMIFS(DailySpend!F:F,DailySpend!B:B,"YES RUPAY",DailySpend!A:A,"&gt;=2025-11-01",DailySpend!A:A,"&lt;2025-12-01")</f>
        <v>0</v>
      </c>
      <c r="X2">
        <f>SUMIFS(DailySpend!F:F,DailySpend!B:B,"INDUSIND EAZYDINER",DailySpend!A:A,"&gt;=2025-11-01",DailySpend!A:A,"&lt;2025-12-01")</f>
        <v>0</v>
      </c>
      <c r="Y2">
        <f>SUMIFS(DailySpend!F:F,DailySpend!B:B,"ONECARD",DailySpend!A:A,"&gt;=2025-11-01",DailySpend!A:A,"&lt;2025-12-01")</f>
        <v>0</v>
      </c>
      <c r="Z2">
        <f>SUMIFS(DailySpend!F:F,DailySpend!B:B,"YES ACE",DailySpend!A:A,"&gt;=2025-11-01",DailySpend!A:A,"&lt;2025-12-01")</f>
        <v>0</v>
      </c>
      <c r="AA2">
        <f>SUMIFS(DailySpend!F:F,DailySpend!B:B,"RBL SHOPRITE",DailySpend!A:A,"&gt;=2025-11-01",DailySpend!A:A,"&lt;2025-12-01")</f>
        <v>0</v>
      </c>
      <c r="AB2">
        <f>SUM(B2:N2)</f>
        <v>0</v>
      </c>
      <c r="AC2">
        <f>SUM(O2:AA2)</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workbookViewId="0"/>
  </sheetViews>
  <sheetFormatPr defaultRowHeight="14.4" x14ac:dyDescent="0.3"/>
  <sheetData>
    <row r="1" spans="1:6" x14ac:dyDescent="0.3">
      <c r="A1" t="s">
        <v>1</v>
      </c>
      <c r="B1" t="s">
        <v>36</v>
      </c>
      <c r="C1" t="s">
        <v>37</v>
      </c>
      <c r="D1" t="s">
        <v>38</v>
      </c>
      <c r="E1" t="s">
        <v>39</v>
      </c>
      <c r="F1" t="s">
        <v>40</v>
      </c>
    </row>
    <row r="2" spans="1:6" x14ac:dyDescent="0.3">
      <c r="D2">
        <f>SUMIFS(DailySpend!D:D,DailySpend!B:B,A2)</f>
        <v>0</v>
      </c>
      <c r="E2">
        <f>SUMIFS(DailySpend!F:F,DailySpend!B:B,A2)</f>
        <v>0</v>
      </c>
      <c r="F2" t="str">
        <f t="shared" ref="F2:F14" si="0">IF(D2&gt;=C2,"Yes","No")</f>
        <v>Yes</v>
      </c>
    </row>
    <row r="3" spans="1:6" x14ac:dyDescent="0.3">
      <c r="D3">
        <f>SUMIFS(DailySpend!D:D,DailySpend!B:B,A3)</f>
        <v>0</v>
      </c>
      <c r="E3">
        <f>SUMIFS(DailySpend!F:F,DailySpend!B:B,A3)</f>
        <v>0</v>
      </c>
      <c r="F3" t="str">
        <f t="shared" si="0"/>
        <v>Yes</v>
      </c>
    </row>
    <row r="4" spans="1:6" x14ac:dyDescent="0.3">
      <c r="D4">
        <f>SUMIFS(DailySpend!D:D,DailySpend!B:B,A4)</f>
        <v>0</v>
      </c>
      <c r="E4">
        <f>SUMIFS(DailySpend!F:F,DailySpend!B:B,A4)</f>
        <v>0</v>
      </c>
      <c r="F4" t="str">
        <f t="shared" si="0"/>
        <v>Yes</v>
      </c>
    </row>
    <row r="5" spans="1:6" x14ac:dyDescent="0.3">
      <c r="D5">
        <f>SUMIFS(DailySpend!D:D,DailySpend!B:B,A5)</f>
        <v>0</v>
      </c>
      <c r="E5">
        <f>SUMIFS(DailySpend!F:F,DailySpend!B:B,A5)</f>
        <v>0</v>
      </c>
      <c r="F5" t="str">
        <f t="shared" si="0"/>
        <v>Yes</v>
      </c>
    </row>
    <row r="6" spans="1:6" x14ac:dyDescent="0.3">
      <c r="D6">
        <f>SUMIFS(DailySpend!D:D,DailySpend!B:B,A6)</f>
        <v>0</v>
      </c>
      <c r="E6">
        <f>SUMIFS(DailySpend!F:F,DailySpend!B:B,A6)</f>
        <v>0</v>
      </c>
      <c r="F6" t="str">
        <f t="shared" si="0"/>
        <v>Yes</v>
      </c>
    </row>
    <row r="7" spans="1:6" x14ac:dyDescent="0.3">
      <c r="D7">
        <f>SUMIFS(DailySpend!D:D,DailySpend!B:B,A7)</f>
        <v>0</v>
      </c>
      <c r="E7">
        <f>SUMIFS(DailySpend!F:F,DailySpend!B:B,A7)</f>
        <v>0</v>
      </c>
      <c r="F7" t="str">
        <f t="shared" si="0"/>
        <v>Yes</v>
      </c>
    </row>
    <row r="8" spans="1:6" x14ac:dyDescent="0.3">
      <c r="D8">
        <f>SUMIFS(DailySpend!D:D,DailySpend!B:B,A8)</f>
        <v>0</v>
      </c>
      <c r="E8">
        <f>SUMIFS(DailySpend!F:F,DailySpend!B:B,A8)</f>
        <v>0</v>
      </c>
      <c r="F8" t="str">
        <f t="shared" si="0"/>
        <v>Yes</v>
      </c>
    </row>
    <row r="9" spans="1:6" x14ac:dyDescent="0.3">
      <c r="D9">
        <f>SUMIFS(DailySpend!D:D,DailySpend!B:B,A9)</f>
        <v>0</v>
      </c>
      <c r="E9">
        <f>SUMIFS(DailySpend!F:F,DailySpend!B:B,A9)</f>
        <v>0</v>
      </c>
      <c r="F9" t="str">
        <f t="shared" si="0"/>
        <v>Yes</v>
      </c>
    </row>
    <row r="10" spans="1:6" x14ac:dyDescent="0.3">
      <c r="D10">
        <f>SUMIFS(DailySpend!D:D,DailySpend!B:B,A10)</f>
        <v>0</v>
      </c>
      <c r="E10">
        <f>SUMIFS(DailySpend!F:F,DailySpend!B:B,A10)</f>
        <v>0</v>
      </c>
      <c r="F10" t="str">
        <f t="shared" si="0"/>
        <v>Yes</v>
      </c>
    </row>
    <row r="11" spans="1:6" x14ac:dyDescent="0.3">
      <c r="D11">
        <f>SUMIFS(DailySpend!D:D,DailySpend!B:B,A11)</f>
        <v>0</v>
      </c>
      <c r="E11">
        <f>SUMIFS(DailySpend!F:F,DailySpend!B:B,A11)</f>
        <v>0</v>
      </c>
      <c r="F11" t="str">
        <f t="shared" si="0"/>
        <v>Yes</v>
      </c>
    </row>
    <row r="12" spans="1:6" x14ac:dyDescent="0.3">
      <c r="D12">
        <f>SUMIFS(DailySpend!D:D,DailySpend!B:B,A12)</f>
        <v>0</v>
      </c>
      <c r="E12">
        <f>SUMIFS(DailySpend!F:F,DailySpend!B:B,A12)</f>
        <v>0</v>
      </c>
      <c r="F12" t="str">
        <f t="shared" si="0"/>
        <v>Yes</v>
      </c>
    </row>
    <row r="13" spans="1:6" x14ac:dyDescent="0.3">
      <c r="D13">
        <f>SUMIFS(DailySpend!D:D,DailySpend!B:B,A13)</f>
        <v>0</v>
      </c>
      <c r="E13">
        <f>SUMIFS(DailySpend!F:F,DailySpend!B:B,A13)</f>
        <v>0</v>
      </c>
      <c r="F13" t="str">
        <f t="shared" si="0"/>
        <v>Yes</v>
      </c>
    </row>
    <row r="14" spans="1:6" x14ac:dyDescent="0.3">
      <c r="D14">
        <f>SUMIFS(DailySpend!D:D,DailySpend!B:B,A14)</f>
        <v>0</v>
      </c>
      <c r="E14">
        <f>SUMIFS(DailySpend!F:F,DailySpend!B:B,A14)</f>
        <v>0</v>
      </c>
      <c r="F14" t="str">
        <f t="shared" si="0"/>
        <v>Yes</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sheetData>
    <row r="1" spans="1:1" x14ac:dyDescent="0.3">
      <c r="A1"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DailySpend</vt:lpstr>
      <vt:lpstr>MonthlySummary</vt:lpstr>
      <vt:lpstr>AnnualFees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Lokeswar Reddy Bandi</cp:lastModifiedBy>
  <dcterms:created xsi:type="dcterms:W3CDTF">2025-11-03T12:00:53Z</dcterms:created>
  <dcterms:modified xsi:type="dcterms:W3CDTF">2025-11-03T11:58:22Z</dcterms:modified>
</cp:coreProperties>
</file>